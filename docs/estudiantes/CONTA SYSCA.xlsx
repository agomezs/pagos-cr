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drawings/drawing2.xml" ContentType="application/vnd.openxmlformats-officedocument.drawing+xml"/>
  <Override PartName="/xl/ink/ink8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85d2bae7716407/Documents/Catherine/"/>
    </mc:Choice>
  </mc:AlternateContent>
  <xr:revisionPtr revIDLastSave="0" documentId="8_{C6270938-7B83-4815-AAF5-213E03C79C55}" xr6:coauthVersionLast="47" xr6:coauthVersionMax="47" xr10:uidLastSave="{00000000-0000-0000-0000-000000000000}"/>
  <bookViews>
    <workbookView xWindow="-110" yWindow="-110" windowWidth="19420" windowHeight="10300" activeTab="1" xr2:uid="{A85D485F-0825-4CCB-AD5D-72B83DBD04D1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3" l="1"/>
  <c r="J10" i="3"/>
  <c r="G10" i="3"/>
  <c r="J6" i="3"/>
  <c r="B10" i="3"/>
  <c r="D12" i="3" s="1"/>
  <c r="J7" i="3"/>
  <c r="J8" i="3"/>
  <c r="J4" i="3"/>
  <c r="G5" i="3"/>
  <c r="G7" i="3"/>
  <c r="G8" i="3"/>
  <c r="G4" i="3"/>
  <c r="D5" i="3"/>
  <c r="D7" i="3"/>
  <c r="D8" i="3"/>
  <c r="D9" i="3"/>
  <c r="D4" i="3"/>
  <c r="B37" i="1"/>
  <c r="D10" i="3" l="1"/>
</calcChain>
</file>

<file path=xl/sharedStrings.xml><?xml version="1.0" encoding="utf-8"?>
<sst xmlns="http://schemas.openxmlformats.org/spreadsheetml/2006/main" count="132" uniqueCount="79">
  <si>
    <t>Amelia</t>
  </si>
  <si>
    <t>Ariela</t>
  </si>
  <si>
    <t>Amy</t>
  </si>
  <si>
    <t>Alana</t>
  </si>
  <si>
    <t>Chris</t>
  </si>
  <si>
    <t>Dominic</t>
  </si>
  <si>
    <t>Emilia</t>
  </si>
  <si>
    <t>Elisa-Dani</t>
  </si>
  <si>
    <t>Emma B</t>
  </si>
  <si>
    <t>Emma L</t>
  </si>
  <si>
    <t xml:space="preserve"> Gustavo</t>
  </si>
  <si>
    <t>Gabriel</t>
  </si>
  <si>
    <t>Islani</t>
  </si>
  <si>
    <t>Liam</t>
  </si>
  <si>
    <t>Lucas-Clari</t>
  </si>
  <si>
    <t>Luci BB</t>
  </si>
  <si>
    <t>Luci Oriana</t>
  </si>
  <si>
    <t>Luci M</t>
  </si>
  <si>
    <t>Marcelo</t>
  </si>
  <si>
    <t>Marcelo M</t>
  </si>
  <si>
    <t>Mariano</t>
  </si>
  <si>
    <t>Mateo</t>
  </si>
  <si>
    <t>Madisson</t>
  </si>
  <si>
    <t>Oliver</t>
  </si>
  <si>
    <t>Jose David</t>
  </si>
  <si>
    <t>Sofi</t>
  </si>
  <si>
    <t>Stella</t>
  </si>
  <si>
    <t>Santiago</t>
  </si>
  <si>
    <t>Valentina</t>
  </si>
  <si>
    <t>Vale M</t>
  </si>
  <si>
    <t>Vale G-Kiara</t>
  </si>
  <si>
    <t>Zoe</t>
  </si>
  <si>
    <t>DICIEMBRE</t>
  </si>
  <si>
    <t>MATRICULA</t>
  </si>
  <si>
    <t>PRE</t>
  </si>
  <si>
    <t>SALDO</t>
  </si>
  <si>
    <t>UNIFORMES</t>
  </si>
  <si>
    <t>ESTUDIANTE</t>
  </si>
  <si>
    <t>30K</t>
  </si>
  <si>
    <t>20K</t>
  </si>
  <si>
    <t>MONTO</t>
  </si>
  <si>
    <t>FECHA</t>
  </si>
  <si>
    <t>100 DIC01
389 DIC18</t>
  </si>
  <si>
    <t>PEND 30</t>
  </si>
  <si>
    <t>2 Camisas T4, 1 BUZO T4, 1 SHORT T4</t>
  </si>
  <si>
    <t xml:space="preserve">1 CAMISA T2, 1 PANTA T2 </t>
  </si>
  <si>
    <t>2 camisas t2, 1 buzo, 2 short</t>
  </si>
  <si>
    <t>1 camisa T10, 1 PANTA T10 YA PAGO</t>
  </si>
  <si>
    <t>2 CAMISAS T4 Y FISICA / VALE: 1 PANTA</t>
  </si>
  <si>
    <t>3 CAMISAS, 2 PANTAS, 1 BUZO, 1 CAMISA FIS</t>
  </si>
  <si>
    <t>Niko</t>
  </si>
  <si>
    <t>S</t>
  </si>
  <si>
    <t>TALLA</t>
  </si>
  <si>
    <t>M</t>
  </si>
  <si>
    <t>L</t>
  </si>
  <si>
    <t>XL</t>
  </si>
  <si>
    <t>2XL</t>
  </si>
  <si>
    <t>3XL</t>
  </si>
  <si>
    <t>VERDE</t>
  </si>
  <si>
    <t>AZUL</t>
  </si>
  <si>
    <t>ROJO</t>
  </si>
  <si>
    <t>CANTIDAD</t>
  </si>
  <si>
    <t>PRECIO</t>
  </si>
  <si>
    <t>TOTAL</t>
  </si>
  <si>
    <t>IMAS Amy</t>
  </si>
  <si>
    <t>IMAS Liam</t>
  </si>
  <si>
    <t>ABRIL</t>
  </si>
  <si>
    <t>JUNIO</t>
  </si>
  <si>
    <t>JULIO</t>
  </si>
  <si>
    <t>IMAS Dominic</t>
  </si>
  <si>
    <t>IMAS Islani</t>
  </si>
  <si>
    <t>IMAS JULIAN</t>
  </si>
  <si>
    <t>IMAS CHRISTIAN</t>
  </si>
  <si>
    <t>Makensi</t>
  </si>
  <si>
    <t>Kai</t>
  </si>
  <si>
    <t>Oliver BB</t>
  </si>
  <si>
    <t>Eliana</t>
  </si>
  <si>
    <t>Leonardo</t>
  </si>
  <si>
    <t>IMAS FIO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</si>
</sst>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7" fontId="0" fillId="0" borderId="1" xfId="0" applyNumberFormat="1" applyBorder="1"/>
    <xf numFmtId="16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3" borderId="1" xfId="0" applyFill="1" applyBorder="1"/>
    <xf numFmtId="0" fontId="1" fillId="4" borderId="1" xfId="0" applyFont="1" applyFill="1" applyBorder="1" applyAlignment="1">
      <alignment horizontal="center" vertical="center"/>
    </xf>
    <xf numFmtId="0" fontId="0" fillId="4" borderId="0" xfId="0" applyFill="1"/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right" vertical="center"/>
    </xf>
    <xf numFmtId="16" fontId="0" fillId="4" borderId="1" xfId="0" applyNumberFormat="1" applyFill="1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43" fontId="0" fillId="5" borderId="0" xfId="1" applyFont="1" applyFill="1"/>
    <xf numFmtId="43" fontId="0" fillId="3" borderId="0" xfId="1" applyFont="1" applyFill="1"/>
    <xf numFmtId="43" fontId="0" fillId="6" borderId="0" xfId="1" applyFont="1" applyFill="1"/>
    <xf numFmtId="43" fontId="0" fillId="0" borderId="0" xfId="0" applyNumberFormat="1"/>
    <xf numFmtId="16" fontId="0" fillId="4" borderId="3" xfId="0" applyNumberForma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" fontId="1" fillId="2" borderId="2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6.xml"/><Relationship Id="rId3" Type="http://schemas.openxmlformats.org/officeDocument/2006/relationships/customXml" Target="../ink/ink2.xml"/><Relationship Id="rId7" Type="http://schemas.openxmlformats.org/officeDocument/2006/relationships/customXml" Target="../ink/ink5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5" Type="http://schemas.openxmlformats.org/officeDocument/2006/relationships/customXml" Target="../ink/ink3.xml"/><Relationship Id="rId4" Type="http://schemas.openxmlformats.org/officeDocument/2006/relationships/image" Target="../media/image2.png"/><Relationship Id="rId9" Type="http://schemas.openxmlformats.org/officeDocument/2006/relationships/customXml" Target="../ink/ink7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ustomXml" Target="../ink/ink8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152665</xdr:colOff>
      <xdr:row>4</xdr:row>
      <xdr:rowOff>115463</xdr:rowOff>
    </xdr:from>
    <xdr:to>
      <xdr:col>5</xdr:col>
      <xdr:colOff>352413</xdr:colOff>
      <xdr:row>4</xdr:row>
      <xdr:rowOff>116183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Entrada de lápiz 2">
              <a:extLst>
                <a:ext uri="{FF2B5EF4-FFF2-40B4-BE49-F238E27FC236}">
                  <a16:creationId xmlns:a16="http://schemas.microsoft.com/office/drawing/2014/main" id="{03238B71-3316-FF78-A4E5-24417CB780D7}"/>
                </a:ext>
              </a:extLst>
            </xdr14:cNvPr>
            <xdr14:cNvContentPartPr/>
          </xdr14:nvContentPartPr>
          <xdr14:nvPr macro=""/>
          <xdr14:xfrm>
            <a:off x="2715840" y="959040"/>
            <a:ext cx="1122120" cy="720"/>
          </xdr14:xfrm>
        </xdr:contentPart>
      </mc:Choice>
      <mc:Fallback xmlns="">
        <xdr:pic>
          <xdr:nvPicPr>
            <xdr:cNvPr id="3" name="Entrada de lápiz 2">
              <a:extLst>
                <a:ext uri="{FF2B5EF4-FFF2-40B4-BE49-F238E27FC236}">
                  <a16:creationId xmlns:a16="http://schemas.microsoft.com/office/drawing/2014/main" id="{03238B71-3316-FF78-A4E5-24417CB780D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709720" y="946800"/>
              <a:ext cx="11343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166656</xdr:colOff>
      <xdr:row>5</xdr:row>
      <xdr:rowOff>148356</xdr:rowOff>
    </xdr:from>
    <xdr:to>
      <xdr:col>4</xdr:col>
      <xdr:colOff>167016</xdr:colOff>
      <xdr:row>5</xdr:row>
      <xdr:rowOff>148716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Entrada de lápiz 3">
              <a:extLst>
                <a:ext uri="{FF2B5EF4-FFF2-40B4-BE49-F238E27FC236}">
                  <a16:creationId xmlns:a16="http://schemas.microsoft.com/office/drawing/2014/main" id="{FA1F75E9-9044-F6EF-E69F-B39A9D73E80C}"/>
                </a:ext>
              </a:extLst>
            </xdr14:cNvPr>
            <xdr14:cNvContentPartPr/>
          </xdr14:nvContentPartPr>
          <xdr14:nvPr macro=""/>
          <xdr14:xfrm>
            <a:off x="3170160" y="1228320"/>
            <a:ext cx="360" cy="360"/>
          </xdr14:xfrm>
        </xdr:contentPart>
      </mc:Choice>
      <mc:Fallback xmlns="">
        <xdr:pic>
          <xdr:nvPicPr>
            <xdr:cNvPr id="4" name="Entrada de lápiz 3">
              <a:extLst>
                <a:ext uri="{FF2B5EF4-FFF2-40B4-BE49-F238E27FC236}">
                  <a16:creationId xmlns:a16="http://schemas.microsoft.com/office/drawing/2014/main" id="{FA1F75E9-9044-F6EF-E69F-B39A9D73E80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164040" y="12222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194672</xdr:colOff>
      <xdr:row>7</xdr:row>
      <xdr:rowOff>125146</xdr:rowOff>
    </xdr:from>
    <xdr:to>
      <xdr:col>5</xdr:col>
      <xdr:colOff>394420</xdr:colOff>
      <xdr:row>7</xdr:row>
      <xdr:rowOff>125866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8" name="Entrada de lápiz 7">
              <a:extLst>
                <a:ext uri="{FF2B5EF4-FFF2-40B4-BE49-F238E27FC236}">
                  <a16:creationId xmlns:a16="http://schemas.microsoft.com/office/drawing/2014/main" id="{9DD90A05-B039-4ABE-8E50-50BB5EDF598D}"/>
                </a:ext>
              </a:extLst>
            </xdr14:cNvPr>
            <xdr14:cNvContentPartPr/>
          </xdr14:nvContentPartPr>
          <xdr14:nvPr macro=""/>
          <xdr14:xfrm>
            <a:off x="2757847" y="1677883"/>
            <a:ext cx="1122120" cy="720"/>
          </xdr14:xfrm>
        </xdr:contentPart>
      </mc:Choice>
      <mc:Fallback xmlns="">
        <xdr:pic>
          <xdr:nvPicPr>
            <xdr:cNvPr id="8" name="Entrada de lápiz 7">
              <a:extLst>
                <a:ext uri="{FF2B5EF4-FFF2-40B4-BE49-F238E27FC236}">
                  <a16:creationId xmlns:a16="http://schemas.microsoft.com/office/drawing/2014/main" id="{9DD90A05-B039-4ABE-8E50-50BB5EDF598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751727" y="1665643"/>
              <a:ext cx="11343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227434</xdr:colOff>
      <xdr:row>15</xdr:row>
      <xdr:rowOff>105580</xdr:rowOff>
    </xdr:from>
    <xdr:to>
      <xdr:col>5</xdr:col>
      <xdr:colOff>427182</xdr:colOff>
      <xdr:row>15</xdr:row>
      <xdr:rowOff>106300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9" name="Entrada de lápiz 8">
              <a:extLst>
                <a:ext uri="{FF2B5EF4-FFF2-40B4-BE49-F238E27FC236}">
                  <a16:creationId xmlns:a16="http://schemas.microsoft.com/office/drawing/2014/main" id="{10A76B72-2C1A-4D45-BC95-F78759FAD873}"/>
                </a:ext>
              </a:extLst>
            </xdr14:cNvPr>
            <xdr14:cNvContentPartPr/>
          </xdr14:nvContentPartPr>
          <xdr14:nvPr macro=""/>
          <xdr14:xfrm>
            <a:off x="2785840" y="3524457"/>
            <a:ext cx="1120038" cy="720"/>
          </xdr14:xfrm>
        </xdr:contentPart>
      </mc:Choice>
      <mc:Fallback xmlns="">
        <xdr:pic>
          <xdr:nvPicPr>
            <xdr:cNvPr id="9" name="Entrada de lápiz 8">
              <a:extLst>
                <a:ext uri="{FF2B5EF4-FFF2-40B4-BE49-F238E27FC236}">
                  <a16:creationId xmlns:a16="http://schemas.microsoft.com/office/drawing/2014/main" id="{10A76B72-2C1A-4D45-BC95-F78759FAD87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779731" y="3512217"/>
              <a:ext cx="1132255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224794</xdr:colOff>
      <xdr:row>11</xdr:row>
      <xdr:rowOff>129139</xdr:rowOff>
    </xdr:from>
    <xdr:to>
      <xdr:col>5</xdr:col>
      <xdr:colOff>428103</xdr:colOff>
      <xdr:row>11</xdr:row>
      <xdr:rowOff>129859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0" name="Entrada de lápiz 9">
              <a:extLst>
                <a:ext uri="{FF2B5EF4-FFF2-40B4-BE49-F238E27FC236}">
                  <a16:creationId xmlns:a16="http://schemas.microsoft.com/office/drawing/2014/main" id="{93FBC4A9-B768-421F-BE0A-A87D1D0FB37B}"/>
                </a:ext>
              </a:extLst>
            </xdr14:cNvPr>
            <xdr14:cNvContentPartPr/>
          </xdr14:nvContentPartPr>
          <xdr14:nvPr macro=""/>
          <xdr14:xfrm>
            <a:off x="2783200" y="2609320"/>
            <a:ext cx="1123599" cy="720"/>
          </xdr14:xfrm>
        </xdr:contentPart>
      </mc:Choice>
      <mc:Fallback xmlns="">
        <xdr:pic>
          <xdr:nvPicPr>
            <xdr:cNvPr id="10" name="Entrada de lápiz 9">
              <a:extLst>
                <a:ext uri="{FF2B5EF4-FFF2-40B4-BE49-F238E27FC236}">
                  <a16:creationId xmlns:a16="http://schemas.microsoft.com/office/drawing/2014/main" id="{93FBC4A9-B768-421F-BE0A-A87D1D0FB37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777072" y="2597080"/>
              <a:ext cx="1135855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220813</xdr:colOff>
      <xdr:row>9</xdr:row>
      <xdr:rowOff>142017</xdr:rowOff>
    </xdr:from>
    <xdr:to>
      <xdr:col>5</xdr:col>
      <xdr:colOff>420561</xdr:colOff>
      <xdr:row>9</xdr:row>
      <xdr:rowOff>142737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1" name="Entrada de lápiz 10">
              <a:extLst>
                <a:ext uri="{FF2B5EF4-FFF2-40B4-BE49-F238E27FC236}">
                  <a16:creationId xmlns:a16="http://schemas.microsoft.com/office/drawing/2014/main" id="{83636E70-50FB-4022-ACB4-1984E52D2B67}"/>
                </a:ext>
              </a:extLst>
            </xdr14:cNvPr>
            <xdr14:cNvContentPartPr/>
          </xdr14:nvContentPartPr>
          <xdr14:nvPr macro=""/>
          <xdr14:xfrm>
            <a:off x="2783988" y="2167528"/>
            <a:ext cx="1122120" cy="720"/>
          </xdr14:xfrm>
        </xdr:contentPart>
      </mc:Choice>
      <mc:Fallback xmlns="">
        <xdr:pic>
          <xdr:nvPicPr>
            <xdr:cNvPr id="11" name="Entrada de lápiz 10">
              <a:extLst>
                <a:ext uri="{FF2B5EF4-FFF2-40B4-BE49-F238E27FC236}">
                  <a16:creationId xmlns:a16="http://schemas.microsoft.com/office/drawing/2014/main" id="{83636E70-50FB-4022-ACB4-1984E52D2B6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777868" y="2155288"/>
              <a:ext cx="11343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218784</xdr:colOff>
      <xdr:row>35</xdr:row>
      <xdr:rowOff>142944</xdr:rowOff>
    </xdr:from>
    <xdr:to>
      <xdr:col>5</xdr:col>
      <xdr:colOff>418532</xdr:colOff>
      <xdr:row>35</xdr:row>
      <xdr:rowOff>143664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2" name="Entrada de lápiz 11">
              <a:extLst>
                <a:ext uri="{FF2B5EF4-FFF2-40B4-BE49-F238E27FC236}">
                  <a16:creationId xmlns:a16="http://schemas.microsoft.com/office/drawing/2014/main" id="{60BF8143-A1F4-4AF7-9B41-B36F4DD39814}"/>
                </a:ext>
              </a:extLst>
            </xdr14:cNvPr>
            <xdr14:cNvContentPartPr/>
          </xdr14:nvContentPartPr>
          <xdr14:nvPr macro=""/>
          <xdr14:xfrm>
            <a:off x="2777190" y="7951603"/>
            <a:ext cx="1120038" cy="720"/>
          </xdr14:xfrm>
        </xdr:contentPart>
      </mc:Choice>
      <mc:Fallback xmlns="">
        <xdr:pic>
          <xdr:nvPicPr>
            <xdr:cNvPr id="12" name="Entrada de lápiz 11">
              <a:extLst>
                <a:ext uri="{FF2B5EF4-FFF2-40B4-BE49-F238E27FC236}">
                  <a16:creationId xmlns:a16="http://schemas.microsoft.com/office/drawing/2014/main" id="{60BF8143-A1F4-4AF7-9B41-B36F4DD3981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771081" y="7939363"/>
              <a:ext cx="1132255" cy="25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148356</xdr:rowOff>
    </xdr:from>
    <xdr:to>
      <xdr:col>3</xdr:col>
      <xdr:colOff>360</xdr:colOff>
      <xdr:row>2</xdr:row>
      <xdr:rowOff>148716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Entrada de lápiz 2">
              <a:extLst>
                <a:ext uri="{FF2B5EF4-FFF2-40B4-BE49-F238E27FC236}">
                  <a16:creationId xmlns:a16="http://schemas.microsoft.com/office/drawing/2014/main" id="{64F3BCCB-2922-4FD0-A702-5612C91C8737}"/>
                </a:ext>
              </a:extLst>
            </xdr14:cNvPr>
            <xdr14:cNvContentPartPr/>
          </xdr14:nvContentPartPr>
          <xdr14:nvPr macro=""/>
          <xdr14:xfrm>
            <a:off x="3170160" y="1228320"/>
            <a:ext cx="360" cy="360"/>
          </xdr14:xfrm>
        </xdr:contentPart>
      </mc:Choice>
      <mc:Fallback xmlns="">
        <xdr:pic>
          <xdr:nvPicPr>
            <xdr:cNvPr id="4" name="Entrada de lápiz 3">
              <a:extLst>
                <a:ext uri="{FF2B5EF4-FFF2-40B4-BE49-F238E27FC236}">
                  <a16:creationId xmlns:a16="http://schemas.microsoft.com/office/drawing/2014/main" id="{FA1F75E9-9044-F6EF-E69F-B39A9D73E80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164040" y="12222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3T22:34:26.0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 24237,'3111'0'0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3T22:34:31.2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3T22:34:49.7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 24237,'3111'0'0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3T22:35:02.5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 24237,'3111'0'0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3T22:35:03.6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 24237,'3121'0'0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3T22:35:04.4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 24237,'3111'0'0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3T22:35:56.8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 24237,'3111'0'0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0T16:32:27.7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24575,'0'0'-8191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6339E-7C67-4A62-A62D-F301E58ED086}">
  <dimension ref="A1:G37"/>
  <sheetViews>
    <sheetView zoomScale="138" workbookViewId="0">
      <selection activeCell="B8" sqref="B8"/>
    </sheetView>
  </sheetViews>
  <sheetFormatPr baseColWidth="10" defaultRowHeight="14.5" x14ac:dyDescent="0.35"/>
  <cols>
    <col min="1" max="1" width="12.7265625" customWidth="1"/>
    <col min="2" max="2" width="11.1796875" customWidth="1"/>
    <col min="3" max="3" width="12.7265625" customWidth="1"/>
    <col min="4" max="4" width="6.26953125" style="1" customWidth="1"/>
    <col min="5" max="5" width="6.90625" customWidth="1"/>
    <col min="6" max="6" width="8.36328125" customWidth="1"/>
    <col min="7" max="7" width="36.90625" customWidth="1"/>
  </cols>
  <sheetData>
    <row r="1" spans="1:7" x14ac:dyDescent="0.35">
      <c r="A1" s="28" t="s">
        <v>37</v>
      </c>
      <c r="B1" s="29" t="s">
        <v>32</v>
      </c>
      <c r="C1" s="30"/>
      <c r="D1" s="28" t="s">
        <v>33</v>
      </c>
      <c r="E1" s="28"/>
      <c r="F1" s="28"/>
      <c r="G1" s="28" t="s">
        <v>36</v>
      </c>
    </row>
    <row r="2" spans="1:7" x14ac:dyDescent="0.35">
      <c r="A2" s="28"/>
      <c r="B2" s="2" t="s">
        <v>40</v>
      </c>
      <c r="C2" s="2" t="s">
        <v>41</v>
      </c>
      <c r="D2" s="2" t="s">
        <v>34</v>
      </c>
      <c r="E2" s="2" t="s">
        <v>35</v>
      </c>
      <c r="F2" s="2" t="s">
        <v>41</v>
      </c>
      <c r="G2" s="28"/>
    </row>
    <row r="3" spans="1:7" ht="18.5" customHeight="1" x14ac:dyDescent="0.35">
      <c r="A3" s="3" t="s">
        <v>0</v>
      </c>
      <c r="B3" s="3">
        <v>253</v>
      </c>
      <c r="C3" s="5">
        <v>46369</v>
      </c>
      <c r="D3" s="6" t="s">
        <v>38</v>
      </c>
      <c r="E3" s="8"/>
      <c r="F3" s="3"/>
      <c r="G3" s="3"/>
    </row>
    <row r="4" spans="1:7" ht="18.5" customHeight="1" x14ac:dyDescent="0.35">
      <c r="A4" s="3" t="s">
        <v>1</v>
      </c>
      <c r="B4" s="3">
        <v>176</v>
      </c>
      <c r="C4" s="5">
        <v>46373</v>
      </c>
      <c r="D4" s="6" t="s">
        <v>39</v>
      </c>
      <c r="E4" s="3">
        <v>140</v>
      </c>
      <c r="F4" s="4">
        <v>46722</v>
      </c>
      <c r="G4" s="3"/>
    </row>
    <row r="5" spans="1:7" ht="18.5" customHeight="1" x14ac:dyDescent="0.35">
      <c r="A5" s="3" t="s">
        <v>2</v>
      </c>
      <c r="B5" s="3">
        <v>131</v>
      </c>
      <c r="C5" s="5">
        <v>46352</v>
      </c>
      <c r="D5" s="6"/>
      <c r="E5" s="3"/>
      <c r="F5" s="3"/>
      <c r="G5" s="3"/>
    </row>
    <row r="6" spans="1:7" ht="18.5" customHeight="1" x14ac:dyDescent="0.35">
      <c r="A6" s="3" t="s">
        <v>3</v>
      </c>
      <c r="B6" s="3">
        <v>250</v>
      </c>
      <c r="C6" s="5">
        <v>46359</v>
      </c>
      <c r="D6" s="6"/>
      <c r="E6" s="8"/>
      <c r="F6" s="3"/>
      <c r="G6" s="3"/>
    </row>
    <row r="7" spans="1:7" ht="18.5" customHeight="1" x14ac:dyDescent="0.35">
      <c r="A7" s="3" t="s">
        <v>4</v>
      </c>
      <c r="B7" s="3">
        <v>240</v>
      </c>
      <c r="C7" s="5">
        <v>46357</v>
      </c>
      <c r="D7" s="6" t="s">
        <v>38</v>
      </c>
      <c r="E7" s="3">
        <v>190</v>
      </c>
      <c r="F7" s="5">
        <v>46354</v>
      </c>
      <c r="G7" s="3"/>
    </row>
    <row r="8" spans="1:7" ht="18.5" customHeight="1" x14ac:dyDescent="0.35">
      <c r="A8" s="3" t="s">
        <v>5</v>
      </c>
      <c r="B8" s="3">
        <v>131</v>
      </c>
      <c r="C8" s="5">
        <v>46352</v>
      </c>
      <c r="D8" s="6"/>
      <c r="E8" s="3"/>
      <c r="F8" s="3"/>
      <c r="G8" s="3"/>
    </row>
    <row r="9" spans="1:7" ht="18.5" customHeight="1" x14ac:dyDescent="0.35">
      <c r="A9" s="3" t="s">
        <v>6</v>
      </c>
      <c r="B9" s="3">
        <v>210</v>
      </c>
      <c r="C9" s="5">
        <v>46355</v>
      </c>
      <c r="D9" s="6"/>
      <c r="E9" s="3">
        <v>210</v>
      </c>
      <c r="F9" s="5">
        <v>46371</v>
      </c>
      <c r="G9" s="3" t="s">
        <v>44</v>
      </c>
    </row>
    <row r="10" spans="1:7" ht="18.5" customHeight="1" x14ac:dyDescent="0.35">
      <c r="A10" s="3" t="s">
        <v>7</v>
      </c>
      <c r="B10" s="3">
        <v>372</v>
      </c>
      <c r="C10" s="5">
        <v>46365</v>
      </c>
      <c r="D10" s="6"/>
      <c r="E10" s="3"/>
      <c r="F10" s="3"/>
      <c r="G10" s="3"/>
    </row>
    <row r="11" spans="1:7" ht="18.5" customHeight="1" x14ac:dyDescent="0.35">
      <c r="A11" s="3" t="s">
        <v>8</v>
      </c>
      <c r="B11" s="3">
        <v>230</v>
      </c>
      <c r="C11" s="5">
        <v>46358</v>
      </c>
      <c r="D11" s="6">
        <v>30</v>
      </c>
      <c r="E11" s="3">
        <v>200</v>
      </c>
      <c r="F11" s="5">
        <v>46368</v>
      </c>
    </row>
    <row r="12" spans="1:7" ht="18.5" customHeight="1" x14ac:dyDescent="0.35">
      <c r="A12" s="3" t="s">
        <v>9</v>
      </c>
      <c r="B12" s="3">
        <v>222</v>
      </c>
      <c r="C12" s="5">
        <v>46358</v>
      </c>
      <c r="D12" s="6"/>
      <c r="E12" s="3"/>
      <c r="F12" s="3"/>
      <c r="G12" s="3"/>
    </row>
    <row r="13" spans="1:7" ht="18.5" customHeight="1" x14ac:dyDescent="0.35">
      <c r="A13" s="3" t="s">
        <v>10</v>
      </c>
      <c r="B13" s="3">
        <v>210</v>
      </c>
      <c r="C13" s="5">
        <v>46358</v>
      </c>
      <c r="D13" s="6"/>
      <c r="E13" s="3">
        <v>210</v>
      </c>
      <c r="F13" s="5">
        <v>46365</v>
      </c>
      <c r="G13" s="3" t="s">
        <v>45</v>
      </c>
    </row>
    <row r="14" spans="1:7" ht="18.5" customHeight="1" x14ac:dyDescent="0.35">
      <c r="A14" s="3" t="s">
        <v>11</v>
      </c>
      <c r="B14" s="3">
        <v>102</v>
      </c>
      <c r="C14" s="5">
        <v>46359</v>
      </c>
      <c r="D14" s="6">
        <v>30</v>
      </c>
      <c r="E14" s="3">
        <v>72</v>
      </c>
      <c r="F14" s="5">
        <v>46372</v>
      </c>
      <c r="G14" s="3" t="s">
        <v>46</v>
      </c>
    </row>
    <row r="15" spans="1:7" ht="18.5" customHeight="1" x14ac:dyDescent="0.35">
      <c r="A15" s="3" t="s">
        <v>12</v>
      </c>
      <c r="B15" s="3">
        <v>131</v>
      </c>
      <c r="C15" s="5">
        <v>46352</v>
      </c>
      <c r="D15" s="6"/>
      <c r="E15" s="3"/>
      <c r="F15" s="3"/>
      <c r="G15" s="3" t="s">
        <v>47</v>
      </c>
    </row>
    <row r="16" spans="1:7" ht="18.5" customHeight="1" x14ac:dyDescent="0.35">
      <c r="A16" s="3" t="s">
        <v>13</v>
      </c>
      <c r="B16" s="3">
        <v>131</v>
      </c>
      <c r="C16" s="5">
        <v>46352</v>
      </c>
      <c r="D16" s="6"/>
      <c r="E16" s="3"/>
      <c r="F16" s="3"/>
      <c r="G16" s="3"/>
    </row>
    <row r="17" spans="1:7" ht="31.5" customHeight="1" x14ac:dyDescent="0.35">
      <c r="A17" s="3" t="s">
        <v>14</v>
      </c>
      <c r="B17" s="3">
        <v>489</v>
      </c>
      <c r="C17" s="7" t="s">
        <v>42</v>
      </c>
      <c r="D17" s="6"/>
      <c r="E17" s="8"/>
      <c r="F17" s="3"/>
      <c r="G17" s="3"/>
    </row>
    <row r="18" spans="1:7" ht="18.5" customHeight="1" x14ac:dyDescent="0.35">
      <c r="A18" s="3" t="s">
        <v>15</v>
      </c>
      <c r="B18" s="3">
        <v>150</v>
      </c>
      <c r="C18" s="5">
        <v>46359</v>
      </c>
      <c r="D18" s="6"/>
      <c r="E18" s="3">
        <v>150</v>
      </c>
      <c r="F18" s="5">
        <v>46378</v>
      </c>
      <c r="G18" s="3"/>
    </row>
    <row r="19" spans="1:7" ht="18.5" customHeight="1" x14ac:dyDescent="0.35">
      <c r="A19" s="3" t="s">
        <v>16</v>
      </c>
      <c r="B19" s="3">
        <v>100</v>
      </c>
      <c r="C19" s="5">
        <v>46360</v>
      </c>
      <c r="D19" s="6"/>
      <c r="E19" s="8"/>
      <c r="F19" s="3"/>
      <c r="G19" s="3"/>
    </row>
    <row r="20" spans="1:7" ht="18.5" customHeight="1" x14ac:dyDescent="0.35">
      <c r="A20" s="3" t="s">
        <v>17</v>
      </c>
      <c r="B20" s="3">
        <v>210</v>
      </c>
      <c r="C20" s="5">
        <v>46359</v>
      </c>
      <c r="D20" s="6">
        <v>30</v>
      </c>
      <c r="E20" s="3">
        <v>180</v>
      </c>
      <c r="F20" s="5">
        <v>46371</v>
      </c>
      <c r="G20" s="3"/>
    </row>
    <row r="21" spans="1:7" ht="18.5" customHeight="1" x14ac:dyDescent="0.35">
      <c r="A21" s="3" t="s">
        <v>18</v>
      </c>
      <c r="B21" s="3">
        <v>160</v>
      </c>
      <c r="C21" s="5">
        <v>46364</v>
      </c>
      <c r="D21" s="6">
        <v>30</v>
      </c>
      <c r="E21" s="3">
        <v>130</v>
      </c>
      <c r="F21" s="5">
        <v>46371</v>
      </c>
      <c r="G21" s="3"/>
    </row>
    <row r="22" spans="1:7" ht="18.5" customHeight="1" x14ac:dyDescent="0.35">
      <c r="A22" s="3" t="s">
        <v>19</v>
      </c>
      <c r="B22" s="3">
        <v>185</v>
      </c>
      <c r="C22" s="5">
        <v>46359</v>
      </c>
      <c r="D22" s="6">
        <v>30</v>
      </c>
      <c r="E22" s="3">
        <v>180</v>
      </c>
      <c r="F22" s="5">
        <v>46371</v>
      </c>
      <c r="G22" s="3" t="s">
        <v>49</v>
      </c>
    </row>
    <row r="23" spans="1:7" ht="18.5" customHeight="1" x14ac:dyDescent="0.35">
      <c r="A23" s="3" t="s">
        <v>20</v>
      </c>
      <c r="B23" s="3">
        <v>210</v>
      </c>
      <c r="C23" s="5">
        <v>46358</v>
      </c>
      <c r="D23" s="6">
        <v>30</v>
      </c>
      <c r="E23" s="3">
        <v>180</v>
      </c>
      <c r="F23" s="5">
        <v>46371</v>
      </c>
      <c r="G23" s="3"/>
    </row>
    <row r="24" spans="1:7" ht="18.5" customHeight="1" x14ac:dyDescent="0.35">
      <c r="A24" s="3" t="s">
        <v>21</v>
      </c>
      <c r="B24" s="3"/>
      <c r="C24" s="3" t="s">
        <v>43</v>
      </c>
      <c r="D24" s="6"/>
      <c r="E24" s="8"/>
      <c r="F24" s="3"/>
      <c r="G24" s="3"/>
    </row>
    <row r="25" spans="1:7" ht="18.5" customHeight="1" x14ac:dyDescent="0.35">
      <c r="A25" s="3" t="s">
        <v>22</v>
      </c>
      <c r="B25" s="3">
        <v>216</v>
      </c>
      <c r="C25" s="5">
        <v>46359</v>
      </c>
      <c r="D25" s="6">
        <v>30</v>
      </c>
      <c r="E25" s="3">
        <v>180</v>
      </c>
      <c r="F25" s="5">
        <v>46361</v>
      </c>
      <c r="G25" s="3"/>
    </row>
    <row r="26" spans="1:7" x14ac:dyDescent="0.35">
      <c r="A26" s="28" t="s">
        <v>37</v>
      </c>
      <c r="B26" s="29" t="s">
        <v>32</v>
      </c>
      <c r="C26" s="30"/>
      <c r="D26" s="28" t="s">
        <v>33</v>
      </c>
      <c r="E26" s="28"/>
      <c r="F26" s="28"/>
      <c r="G26" s="28" t="s">
        <v>36</v>
      </c>
    </row>
    <row r="27" spans="1:7" x14ac:dyDescent="0.35">
      <c r="A27" s="28"/>
      <c r="B27" s="2" t="s">
        <v>40</v>
      </c>
      <c r="C27" s="2" t="s">
        <v>41</v>
      </c>
      <c r="D27" s="2" t="s">
        <v>34</v>
      </c>
      <c r="E27" s="2" t="s">
        <v>35</v>
      </c>
      <c r="F27" s="2" t="s">
        <v>41</v>
      </c>
      <c r="G27" s="28"/>
    </row>
    <row r="28" spans="1:7" ht="18.5" customHeight="1" x14ac:dyDescent="0.35">
      <c r="A28" s="3" t="s">
        <v>23</v>
      </c>
      <c r="B28" s="3">
        <v>230</v>
      </c>
      <c r="C28" s="5">
        <v>46352</v>
      </c>
      <c r="D28" s="6"/>
      <c r="E28" s="3">
        <v>230</v>
      </c>
      <c r="F28" s="5">
        <v>46352</v>
      </c>
      <c r="G28" s="3"/>
    </row>
    <row r="29" spans="1:7" ht="18.5" customHeight="1" x14ac:dyDescent="0.35">
      <c r="A29" s="3" t="s">
        <v>24</v>
      </c>
      <c r="B29" s="3">
        <v>220</v>
      </c>
      <c r="C29" s="5">
        <v>46358</v>
      </c>
      <c r="D29" s="6"/>
      <c r="E29" s="3">
        <v>210</v>
      </c>
      <c r="F29" s="5">
        <v>46371</v>
      </c>
      <c r="G29" s="3"/>
    </row>
    <row r="30" spans="1:7" ht="18.5" customHeight="1" x14ac:dyDescent="0.35">
      <c r="A30" s="3" t="s">
        <v>25</v>
      </c>
      <c r="B30" s="3">
        <v>180</v>
      </c>
      <c r="C30" s="5">
        <v>46362</v>
      </c>
      <c r="D30" s="6">
        <v>30</v>
      </c>
      <c r="E30" s="3">
        <v>155</v>
      </c>
      <c r="F30" s="5">
        <v>46371</v>
      </c>
      <c r="G30" s="3"/>
    </row>
    <row r="31" spans="1:7" ht="18.5" customHeight="1" x14ac:dyDescent="0.35">
      <c r="A31" s="3" t="s">
        <v>26</v>
      </c>
      <c r="B31" s="3">
        <v>150</v>
      </c>
      <c r="C31" s="5">
        <v>46374</v>
      </c>
      <c r="D31" s="6"/>
      <c r="E31" s="8"/>
      <c r="F31" s="3"/>
      <c r="G31" s="3"/>
    </row>
    <row r="32" spans="1:7" ht="18.5" customHeight="1" x14ac:dyDescent="0.35">
      <c r="A32" s="3" t="s">
        <v>27</v>
      </c>
      <c r="B32" s="3">
        <v>190</v>
      </c>
      <c r="C32" s="5">
        <v>46365</v>
      </c>
      <c r="D32" s="6">
        <v>30</v>
      </c>
      <c r="E32" s="3">
        <v>160</v>
      </c>
      <c r="F32" s="5">
        <v>46372</v>
      </c>
      <c r="G32" s="3"/>
    </row>
    <row r="33" spans="1:7" ht="18.5" customHeight="1" x14ac:dyDescent="0.35">
      <c r="A33" s="3" t="s">
        <v>28</v>
      </c>
      <c r="B33" s="3">
        <v>182</v>
      </c>
      <c r="C33" s="5">
        <v>46357</v>
      </c>
      <c r="D33" s="6">
        <v>30</v>
      </c>
      <c r="E33" s="3">
        <v>200</v>
      </c>
      <c r="F33" s="5">
        <v>46363</v>
      </c>
      <c r="G33" s="3"/>
    </row>
    <row r="34" spans="1:7" ht="18.5" customHeight="1" x14ac:dyDescent="0.35">
      <c r="A34" s="3" t="s">
        <v>29</v>
      </c>
      <c r="B34" s="3">
        <v>266</v>
      </c>
      <c r="C34" s="5">
        <v>46359</v>
      </c>
      <c r="D34" s="6"/>
      <c r="E34" s="8"/>
      <c r="F34" s="3"/>
      <c r="G34" s="3"/>
    </row>
    <row r="35" spans="1:7" ht="18.5" customHeight="1" x14ac:dyDescent="0.35">
      <c r="A35" s="3" t="s">
        <v>30</v>
      </c>
      <c r="B35" s="3">
        <v>372</v>
      </c>
      <c r="C35" s="5">
        <v>46361</v>
      </c>
      <c r="D35" s="6">
        <v>60</v>
      </c>
      <c r="E35" s="3">
        <v>300</v>
      </c>
      <c r="F35" s="5">
        <v>46373</v>
      </c>
      <c r="G35" s="3" t="s">
        <v>48</v>
      </c>
    </row>
    <row r="36" spans="1:7" ht="18.5" customHeight="1" x14ac:dyDescent="0.35">
      <c r="A36" s="3" t="s">
        <v>31</v>
      </c>
      <c r="B36" s="3">
        <v>202</v>
      </c>
      <c r="C36" s="5">
        <v>46355</v>
      </c>
      <c r="D36" s="6"/>
      <c r="E36" s="3"/>
      <c r="F36" s="3"/>
      <c r="G36" s="3"/>
    </row>
    <row r="37" spans="1:7" x14ac:dyDescent="0.35">
      <c r="B37">
        <f>SUM(B3:B36)</f>
        <v>6501</v>
      </c>
    </row>
  </sheetData>
  <mergeCells count="8">
    <mergeCell ref="D1:F1"/>
    <mergeCell ref="G1:G2"/>
    <mergeCell ref="A1:A2"/>
    <mergeCell ref="B1:C1"/>
    <mergeCell ref="A26:A27"/>
    <mergeCell ref="B26:C26"/>
    <mergeCell ref="D26:F26"/>
    <mergeCell ref="G26:G27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65272-2595-495E-AE93-C2DCD3BDDD89}">
  <dimension ref="A1:I40"/>
  <sheetViews>
    <sheetView tabSelected="1" topLeftCell="A15" zoomScale="123" workbookViewId="0">
      <selection activeCell="A27" sqref="A27"/>
    </sheetView>
  </sheetViews>
  <sheetFormatPr baseColWidth="10" defaultRowHeight="14.5" x14ac:dyDescent="0.35"/>
  <cols>
    <col min="1" max="1" width="14.08984375" bestFit="1" customWidth="1"/>
    <col min="2" max="2" width="11.1796875" customWidth="1"/>
    <col min="3" max="3" width="12.7265625" customWidth="1"/>
    <col min="4" max="4" width="11.1796875" customWidth="1"/>
    <col min="5" max="5" width="12.7265625" customWidth="1"/>
    <col min="6" max="6" width="11.1796875" customWidth="1"/>
    <col min="7" max="7" width="12.7265625" customWidth="1"/>
    <col min="8" max="8" width="11.1796875" customWidth="1"/>
    <col min="9" max="9" width="12.7265625" customWidth="1"/>
  </cols>
  <sheetData>
    <row r="1" spans="1:9" x14ac:dyDescent="0.35">
      <c r="A1" s="28" t="s">
        <v>37</v>
      </c>
      <c r="B1" s="29" t="s">
        <v>66</v>
      </c>
      <c r="C1" s="30"/>
      <c r="D1" s="31">
        <v>36647</v>
      </c>
      <c r="E1" s="30"/>
      <c r="F1" s="29" t="s">
        <v>67</v>
      </c>
      <c r="G1" s="30"/>
      <c r="H1" s="29" t="s">
        <v>68</v>
      </c>
      <c r="I1" s="30"/>
    </row>
    <row r="2" spans="1:9" x14ac:dyDescent="0.35">
      <c r="A2" s="28"/>
      <c r="B2" s="2" t="s">
        <v>40</v>
      </c>
      <c r="C2" s="2" t="s">
        <v>41</v>
      </c>
      <c r="D2" s="2" t="s">
        <v>40</v>
      </c>
      <c r="E2" s="2" t="s">
        <v>41</v>
      </c>
      <c r="F2" s="2" t="s">
        <v>40</v>
      </c>
      <c r="G2" s="2" t="s">
        <v>41</v>
      </c>
      <c r="H2" s="2" t="s">
        <v>40</v>
      </c>
      <c r="I2" s="2" t="s">
        <v>41</v>
      </c>
    </row>
    <row r="3" spans="1:9" ht="18.5" customHeight="1" x14ac:dyDescent="0.35">
      <c r="A3" s="3" t="s">
        <v>3</v>
      </c>
      <c r="B3" s="3">
        <v>250</v>
      </c>
      <c r="C3" s="13"/>
      <c r="D3" s="3">
        <v>250</v>
      </c>
      <c r="E3" s="13"/>
      <c r="F3" s="3">
        <v>250</v>
      </c>
      <c r="G3" s="13"/>
      <c r="H3" s="3">
        <v>250</v>
      </c>
      <c r="I3" s="13"/>
    </row>
    <row r="4" spans="1:9" ht="18.5" customHeight="1" x14ac:dyDescent="0.35">
      <c r="A4" s="3" t="s">
        <v>0</v>
      </c>
      <c r="B4" s="3">
        <v>253</v>
      </c>
      <c r="C4" s="13"/>
      <c r="D4" s="3">
        <v>253</v>
      </c>
      <c r="E4" s="13"/>
      <c r="F4" s="3">
        <v>253</v>
      </c>
      <c r="G4" s="13"/>
      <c r="H4" s="3">
        <v>253</v>
      </c>
      <c r="I4" s="13"/>
    </row>
    <row r="5" spans="1:9" ht="18.5" customHeight="1" x14ac:dyDescent="0.35">
      <c r="A5" s="3" t="s">
        <v>1</v>
      </c>
      <c r="B5" s="3">
        <v>176</v>
      </c>
      <c r="C5" s="13"/>
      <c r="D5" s="3">
        <v>176</v>
      </c>
      <c r="E5" s="13"/>
      <c r="F5" s="3">
        <v>176</v>
      </c>
      <c r="G5" s="13"/>
      <c r="H5" s="3">
        <v>176</v>
      </c>
      <c r="I5" s="13"/>
    </row>
    <row r="6" spans="1:9" ht="18.5" customHeight="1" x14ac:dyDescent="0.35">
      <c r="A6" s="3" t="s">
        <v>4</v>
      </c>
      <c r="B6" s="3">
        <v>240</v>
      </c>
      <c r="C6" s="13"/>
      <c r="D6" s="3">
        <v>240</v>
      </c>
      <c r="E6" s="13"/>
      <c r="F6" s="3">
        <v>240</v>
      </c>
      <c r="G6" s="13"/>
      <c r="H6" s="3">
        <v>240</v>
      </c>
      <c r="I6" s="13"/>
    </row>
    <row r="7" spans="1:9" ht="18.5" customHeight="1" x14ac:dyDescent="0.35">
      <c r="A7" s="3" t="s">
        <v>76</v>
      </c>
      <c r="B7" s="3">
        <v>190</v>
      </c>
      <c r="C7" s="3"/>
      <c r="D7" s="3">
        <v>190</v>
      </c>
      <c r="E7" s="3"/>
      <c r="F7" s="3">
        <v>190</v>
      </c>
      <c r="G7" s="3"/>
      <c r="H7" s="3"/>
      <c r="I7" s="3"/>
    </row>
    <row r="8" spans="1:9" ht="18.5" customHeight="1" x14ac:dyDescent="0.35">
      <c r="A8" s="3" t="s">
        <v>6</v>
      </c>
      <c r="B8" s="3">
        <v>210</v>
      </c>
      <c r="C8" s="13"/>
      <c r="D8" s="3">
        <v>210</v>
      </c>
      <c r="E8" s="13"/>
      <c r="F8" s="3">
        <v>210</v>
      </c>
      <c r="G8" s="13"/>
      <c r="H8" s="3">
        <v>210</v>
      </c>
      <c r="I8" s="13"/>
    </row>
    <row r="9" spans="1:9" ht="18.5" customHeight="1" x14ac:dyDescent="0.35">
      <c r="A9" s="3" t="s">
        <v>8</v>
      </c>
      <c r="B9" s="3">
        <v>230</v>
      </c>
      <c r="C9" s="13"/>
      <c r="D9" s="3">
        <v>230</v>
      </c>
      <c r="E9" s="13"/>
      <c r="F9" s="3">
        <v>230</v>
      </c>
      <c r="G9" s="13"/>
      <c r="H9" s="3">
        <v>230</v>
      </c>
      <c r="I9" s="13"/>
    </row>
    <row r="10" spans="1:9" ht="18.5" customHeight="1" x14ac:dyDescent="0.35">
      <c r="A10" s="3" t="s">
        <v>11</v>
      </c>
      <c r="B10" s="3">
        <v>102</v>
      </c>
      <c r="C10" s="13"/>
      <c r="D10" s="3">
        <v>102</v>
      </c>
      <c r="E10" s="13"/>
      <c r="F10" s="3">
        <v>102</v>
      </c>
      <c r="G10" s="13"/>
      <c r="H10" s="3">
        <v>102</v>
      </c>
      <c r="I10" s="13"/>
    </row>
    <row r="11" spans="1:9" ht="18.5" customHeight="1" x14ac:dyDescent="0.35">
      <c r="A11" s="3" t="s">
        <v>10</v>
      </c>
      <c r="B11" s="3">
        <v>210</v>
      </c>
      <c r="C11" s="13"/>
      <c r="D11" s="3">
        <v>210</v>
      </c>
      <c r="E11" s="13"/>
      <c r="F11" s="3">
        <v>210</v>
      </c>
      <c r="G11" s="13"/>
      <c r="H11" s="3">
        <v>210</v>
      </c>
      <c r="I11" s="13"/>
    </row>
    <row r="12" spans="1:9" ht="18.5" customHeight="1" x14ac:dyDescent="0.35">
      <c r="A12" s="3" t="s">
        <v>64</v>
      </c>
      <c r="B12" s="3">
        <v>131</v>
      </c>
      <c r="C12" s="13"/>
      <c r="D12" s="3">
        <v>131</v>
      </c>
      <c r="E12" s="13"/>
      <c r="F12" s="3">
        <v>131</v>
      </c>
      <c r="G12" s="13"/>
      <c r="H12" s="3">
        <v>131</v>
      </c>
      <c r="I12" s="13"/>
    </row>
    <row r="13" spans="1:9" ht="18.5" customHeight="1" x14ac:dyDescent="0.35">
      <c r="A13" s="3" t="s">
        <v>72</v>
      </c>
      <c r="B13" s="3">
        <v>131</v>
      </c>
      <c r="C13" s="13"/>
      <c r="D13" s="3">
        <v>131</v>
      </c>
      <c r="E13" s="13"/>
      <c r="F13" s="3">
        <v>131</v>
      </c>
      <c r="G13" s="13"/>
      <c r="H13" s="3">
        <v>131</v>
      </c>
      <c r="I13" s="13"/>
    </row>
    <row r="14" spans="1:9" ht="18.5" customHeight="1" x14ac:dyDescent="0.35">
      <c r="A14" s="3" t="s">
        <v>69</v>
      </c>
      <c r="B14" s="3">
        <v>131</v>
      </c>
      <c r="C14" s="13"/>
      <c r="D14" s="3">
        <v>131</v>
      </c>
      <c r="E14" s="13"/>
      <c r="F14" s="3">
        <v>131</v>
      </c>
      <c r="G14" s="13"/>
      <c r="H14" s="3">
        <v>131</v>
      </c>
      <c r="I14" s="13"/>
    </row>
    <row r="15" spans="1:9" ht="22" customHeight="1" x14ac:dyDescent="0.35">
      <c r="A15" s="3" t="s">
        <v>70</v>
      </c>
      <c r="B15" s="3">
        <v>131</v>
      </c>
      <c r="C15" s="13"/>
      <c r="D15" s="3">
        <v>131</v>
      </c>
      <c r="E15" s="13"/>
      <c r="F15" s="3">
        <v>131</v>
      </c>
      <c r="G15" s="13"/>
      <c r="H15" s="3">
        <v>131</v>
      </c>
      <c r="I15" s="13"/>
    </row>
    <row r="16" spans="1:9" ht="18.5" customHeight="1" x14ac:dyDescent="0.35">
      <c r="A16" s="3" t="s">
        <v>71</v>
      </c>
      <c r="B16" s="3">
        <v>131</v>
      </c>
      <c r="C16" s="13"/>
      <c r="D16" s="3">
        <v>131</v>
      </c>
      <c r="E16" s="13"/>
      <c r="F16" s="3">
        <v>131</v>
      </c>
      <c r="G16" s="13"/>
      <c r="H16" s="3">
        <v>131</v>
      </c>
      <c r="I16" s="13"/>
    </row>
    <row r="17" spans="1:9" ht="18.5" customHeight="1" x14ac:dyDescent="0.35">
      <c r="A17" s="3" t="s">
        <v>65</v>
      </c>
      <c r="B17" s="3">
        <v>131</v>
      </c>
      <c r="C17" s="13"/>
      <c r="D17" s="3">
        <v>131</v>
      </c>
      <c r="E17" s="13"/>
      <c r="F17" s="3">
        <v>131</v>
      </c>
      <c r="G17" s="13"/>
      <c r="H17" s="3">
        <v>131</v>
      </c>
      <c r="I17" s="13"/>
    </row>
    <row r="18" spans="1:9" ht="18.5" customHeight="1" x14ac:dyDescent="0.35">
      <c r="A18" s="3" t="s">
        <v>78</v>
      </c>
      <c r="B18" s="3">
        <v>131</v>
      </c>
      <c r="C18" s="13"/>
      <c r="D18" s="3">
        <v>131</v>
      </c>
      <c r="E18" s="13"/>
      <c r="F18" s="3">
        <v>131</v>
      </c>
      <c r="G18" s="13"/>
      <c r="H18" s="3">
        <v>131</v>
      </c>
      <c r="I18" s="13"/>
    </row>
    <row r="19" spans="1:9" ht="18.5" customHeight="1" x14ac:dyDescent="0.35">
      <c r="A19" s="3" t="s">
        <v>24</v>
      </c>
      <c r="B19" s="3">
        <v>210</v>
      </c>
      <c r="C19" s="5"/>
      <c r="D19" s="3">
        <v>210</v>
      </c>
      <c r="E19" s="5"/>
      <c r="F19" s="3">
        <v>210</v>
      </c>
      <c r="G19" s="5"/>
      <c r="H19" s="3">
        <v>210</v>
      </c>
      <c r="I19" s="5"/>
    </row>
    <row r="20" spans="1:9" ht="18.5" customHeight="1" x14ac:dyDescent="0.35">
      <c r="A20" s="3" t="s">
        <v>74</v>
      </c>
      <c r="B20" s="3">
        <v>230</v>
      </c>
      <c r="C20" s="3"/>
      <c r="D20" s="3">
        <v>230</v>
      </c>
      <c r="E20" s="3"/>
      <c r="F20" s="3">
        <v>230</v>
      </c>
      <c r="G20" s="3"/>
      <c r="H20" s="3">
        <v>230</v>
      </c>
      <c r="I20" s="3"/>
    </row>
    <row r="21" spans="1:9" ht="18.5" customHeight="1" x14ac:dyDescent="0.35">
      <c r="A21" s="3" t="s">
        <v>77</v>
      </c>
      <c r="B21" s="3">
        <v>180</v>
      </c>
      <c r="C21" s="3"/>
      <c r="D21" s="3">
        <v>180</v>
      </c>
      <c r="E21" s="3"/>
      <c r="F21" s="3">
        <v>180</v>
      </c>
      <c r="G21" s="3"/>
      <c r="H21" s="3">
        <v>180</v>
      </c>
      <c r="I21" s="3"/>
    </row>
    <row r="22" spans="1:9" ht="18.5" customHeight="1" x14ac:dyDescent="0.35">
      <c r="A22" s="3" t="s">
        <v>14</v>
      </c>
      <c r="B22" s="3">
        <v>380</v>
      </c>
      <c r="C22" s="15"/>
      <c r="D22" s="3">
        <v>380</v>
      </c>
      <c r="E22" s="15"/>
      <c r="F22" s="3">
        <v>380</v>
      </c>
      <c r="G22" s="15"/>
      <c r="H22" s="3">
        <v>380</v>
      </c>
      <c r="I22" s="15"/>
    </row>
    <row r="23" spans="1:9" ht="18.5" customHeight="1" x14ac:dyDescent="0.35">
      <c r="A23" s="3" t="s">
        <v>15</v>
      </c>
      <c r="B23" s="3">
        <v>150</v>
      </c>
      <c r="C23" s="13"/>
      <c r="D23" s="3">
        <v>150</v>
      </c>
      <c r="E23" s="13"/>
      <c r="F23" s="3">
        <v>150</v>
      </c>
      <c r="G23" s="13"/>
      <c r="H23" s="3">
        <v>150</v>
      </c>
      <c r="I23" s="13"/>
    </row>
    <row r="24" spans="1:9" ht="18.5" customHeight="1" x14ac:dyDescent="0.35">
      <c r="A24" s="3" t="s">
        <v>17</v>
      </c>
      <c r="B24" s="3">
        <v>210</v>
      </c>
      <c r="C24" s="13"/>
      <c r="D24" s="3">
        <v>210</v>
      </c>
      <c r="E24" s="13"/>
      <c r="F24" s="3">
        <v>210</v>
      </c>
      <c r="G24" s="13"/>
      <c r="H24" s="3">
        <v>210</v>
      </c>
      <c r="I24" s="13"/>
    </row>
    <row r="25" spans="1:9" ht="18.5" customHeight="1" x14ac:dyDescent="0.35">
      <c r="A25" s="3" t="s">
        <v>16</v>
      </c>
      <c r="B25" s="3">
        <v>100</v>
      </c>
      <c r="C25" s="13"/>
      <c r="D25" s="3">
        <v>100</v>
      </c>
      <c r="E25" s="27"/>
      <c r="F25" s="3">
        <v>100</v>
      </c>
      <c r="G25" s="27"/>
      <c r="H25" s="3">
        <v>100</v>
      </c>
      <c r="I25" s="27"/>
    </row>
    <row r="26" spans="1:9" ht="18.5" customHeight="1" x14ac:dyDescent="0.35">
      <c r="A26" s="3" t="s">
        <v>22</v>
      </c>
      <c r="B26" s="3">
        <v>210</v>
      </c>
      <c r="C26" s="13"/>
      <c r="D26" s="3">
        <v>210</v>
      </c>
      <c r="E26" s="27"/>
      <c r="F26" s="3">
        <v>210</v>
      </c>
      <c r="G26" s="27"/>
      <c r="H26" s="3">
        <v>210</v>
      </c>
      <c r="I26" s="27"/>
    </row>
    <row r="27" spans="1:9" s="10" customFormat="1" ht="22.5" customHeight="1" x14ac:dyDescent="0.35">
      <c r="A27" s="3" t="s">
        <v>73</v>
      </c>
      <c r="B27" s="3">
        <v>180</v>
      </c>
      <c r="C27" s="5"/>
      <c r="D27" s="3">
        <v>180</v>
      </c>
      <c r="E27" s="5"/>
      <c r="F27" s="3">
        <v>180</v>
      </c>
      <c r="G27" s="5"/>
      <c r="H27" s="3">
        <v>180</v>
      </c>
      <c r="I27" s="5"/>
    </row>
    <row r="28" spans="1:9" ht="18.5" customHeight="1" x14ac:dyDescent="0.35">
      <c r="A28" s="3" t="s">
        <v>18</v>
      </c>
      <c r="B28" s="3">
        <v>160</v>
      </c>
      <c r="C28" s="13"/>
      <c r="D28" s="3">
        <v>160</v>
      </c>
      <c r="E28" s="13"/>
      <c r="F28" s="3">
        <v>160</v>
      </c>
      <c r="G28" s="13"/>
      <c r="H28" s="3">
        <v>160</v>
      </c>
      <c r="I28" s="13"/>
    </row>
    <row r="29" spans="1:9" ht="18.5" customHeight="1" x14ac:dyDescent="0.35">
      <c r="A29" s="3" t="s">
        <v>19</v>
      </c>
      <c r="B29" s="3">
        <v>185</v>
      </c>
      <c r="C29" s="13"/>
      <c r="D29" s="3">
        <v>185</v>
      </c>
      <c r="E29" s="13"/>
      <c r="F29" s="3">
        <v>185</v>
      </c>
      <c r="G29" s="13"/>
      <c r="H29" s="3">
        <v>185</v>
      </c>
      <c r="I29" s="13"/>
    </row>
    <row r="30" spans="1:9" ht="18.5" customHeight="1" x14ac:dyDescent="0.35">
      <c r="A30" s="3" t="s">
        <v>20</v>
      </c>
      <c r="B30" s="3">
        <v>210</v>
      </c>
      <c r="C30" s="13"/>
      <c r="D30" s="3">
        <v>210</v>
      </c>
      <c r="E30" s="13"/>
      <c r="F30" s="3">
        <v>210</v>
      </c>
      <c r="G30" s="13"/>
      <c r="H30" s="3">
        <v>210</v>
      </c>
      <c r="I30" s="13"/>
    </row>
    <row r="31" spans="1:9" ht="18.5" customHeight="1" x14ac:dyDescent="0.35">
      <c r="A31" s="3" t="s">
        <v>21</v>
      </c>
      <c r="B31" s="3"/>
      <c r="C31" s="14"/>
      <c r="D31" s="3"/>
      <c r="E31" s="14"/>
      <c r="F31" s="3"/>
      <c r="G31" s="14"/>
      <c r="H31" s="3"/>
      <c r="I31" s="14"/>
    </row>
    <row r="32" spans="1:9" ht="18.5" customHeight="1" x14ac:dyDescent="0.35">
      <c r="A32" s="11" t="s">
        <v>50</v>
      </c>
      <c r="B32" s="12">
        <v>180</v>
      </c>
      <c r="C32" s="9"/>
      <c r="D32" s="12">
        <v>180</v>
      </c>
      <c r="E32" s="9"/>
      <c r="F32" s="12">
        <v>180</v>
      </c>
      <c r="G32" s="9"/>
      <c r="H32" s="12">
        <v>180</v>
      </c>
      <c r="I32" s="9"/>
    </row>
    <row r="33" spans="1:9" ht="18.5" customHeight="1" x14ac:dyDescent="0.35">
      <c r="A33" s="3" t="s">
        <v>23</v>
      </c>
      <c r="B33" s="3">
        <v>230</v>
      </c>
      <c r="C33" s="5"/>
      <c r="D33" s="3">
        <v>230</v>
      </c>
      <c r="E33" s="5"/>
      <c r="F33" s="3">
        <v>230</v>
      </c>
      <c r="G33" s="5"/>
      <c r="H33" s="3">
        <v>230</v>
      </c>
      <c r="I33" s="5"/>
    </row>
    <row r="34" spans="1:9" ht="18.5" customHeight="1" x14ac:dyDescent="0.35">
      <c r="A34" s="3" t="s">
        <v>75</v>
      </c>
      <c r="B34" s="3">
        <v>110</v>
      </c>
      <c r="C34" s="3"/>
      <c r="D34" s="3">
        <v>110</v>
      </c>
      <c r="E34" s="3"/>
      <c r="F34" s="3">
        <v>110</v>
      </c>
      <c r="G34" s="3"/>
      <c r="H34" s="3">
        <v>110</v>
      </c>
      <c r="I34" s="3"/>
    </row>
    <row r="35" spans="1:9" ht="19" customHeight="1" x14ac:dyDescent="0.35">
      <c r="A35" s="3" t="s">
        <v>27</v>
      </c>
      <c r="B35" s="3">
        <v>190</v>
      </c>
      <c r="C35" s="5"/>
      <c r="D35" s="3">
        <v>190</v>
      </c>
      <c r="E35" s="5"/>
      <c r="F35" s="3">
        <v>190</v>
      </c>
      <c r="G35" s="5"/>
      <c r="H35" s="3">
        <v>190</v>
      </c>
      <c r="I35" s="5"/>
    </row>
    <row r="36" spans="1:9" ht="19" customHeight="1" x14ac:dyDescent="0.35">
      <c r="A36" s="3" t="s">
        <v>25</v>
      </c>
      <c r="B36" s="3">
        <v>180</v>
      </c>
      <c r="C36" s="5"/>
      <c r="D36" s="3">
        <v>180</v>
      </c>
      <c r="E36" s="5"/>
      <c r="F36" s="3">
        <v>180</v>
      </c>
      <c r="G36" s="5"/>
      <c r="H36" s="3">
        <v>180</v>
      </c>
      <c r="I36" s="5"/>
    </row>
    <row r="37" spans="1:9" ht="19" customHeight="1" x14ac:dyDescent="0.35">
      <c r="A37" s="3" t="s">
        <v>26</v>
      </c>
      <c r="B37" s="3">
        <v>150</v>
      </c>
      <c r="C37" s="5"/>
      <c r="D37" s="3">
        <v>150</v>
      </c>
      <c r="E37" s="5"/>
      <c r="F37" s="3">
        <v>150</v>
      </c>
      <c r="G37" s="5"/>
      <c r="H37" s="3">
        <v>150</v>
      </c>
      <c r="I37" s="5"/>
    </row>
    <row r="38" spans="1:9" ht="19" customHeight="1" x14ac:dyDescent="0.35">
      <c r="A38" s="3" t="s">
        <v>30</v>
      </c>
      <c r="B38" s="3">
        <v>375</v>
      </c>
      <c r="C38" s="5"/>
      <c r="D38" s="3">
        <v>375</v>
      </c>
      <c r="E38" s="5"/>
      <c r="F38" s="3">
        <v>375</v>
      </c>
      <c r="G38" s="5"/>
      <c r="H38" s="3">
        <v>375</v>
      </c>
      <c r="I38" s="5"/>
    </row>
    <row r="39" spans="1:9" ht="19" customHeight="1" x14ac:dyDescent="0.35">
      <c r="A39" s="3" t="s">
        <v>29</v>
      </c>
      <c r="B39" s="3">
        <v>266</v>
      </c>
      <c r="C39" s="5"/>
      <c r="D39" s="3">
        <v>266</v>
      </c>
      <c r="E39" s="5"/>
      <c r="F39" s="3">
        <v>266</v>
      </c>
      <c r="G39" s="5"/>
      <c r="H39" s="3">
        <v>266</v>
      </c>
      <c r="I39" s="5"/>
    </row>
    <row r="40" spans="1:9" ht="19" customHeight="1" x14ac:dyDescent="0.35">
      <c r="A40" s="3" t="s">
        <v>28</v>
      </c>
      <c r="B40" s="3">
        <v>182</v>
      </c>
      <c r="C40" s="5"/>
      <c r="D40" s="3">
        <v>182</v>
      </c>
      <c r="E40" s="5"/>
      <c r="F40" s="3">
        <v>182</v>
      </c>
      <c r="G40" s="5"/>
      <c r="H40" s="3">
        <v>182</v>
      </c>
      <c r="I40" s="5"/>
    </row>
  </sheetData>
  <sortState xmlns:xlrd2="http://schemas.microsoft.com/office/spreadsheetml/2017/richdata2" ref="A4:I40">
    <sortCondition ref="A3:A40"/>
  </sortState>
  <mergeCells count="5">
    <mergeCell ref="A1:A2"/>
    <mergeCell ref="B1:C1"/>
    <mergeCell ref="D1:E1"/>
    <mergeCell ref="F1:G1"/>
    <mergeCell ref="H1:I1"/>
  </mergeCells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04794-849A-4A90-B82A-66853A177B9E}">
  <dimension ref="A1:J12"/>
  <sheetViews>
    <sheetView workbookViewId="0">
      <selection activeCell="J13" sqref="J13"/>
    </sheetView>
  </sheetViews>
  <sheetFormatPr baseColWidth="10" defaultRowHeight="14.5" x14ac:dyDescent="0.35"/>
  <cols>
    <col min="1" max="1" width="10.90625" style="1"/>
  </cols>
  <sheetData>
    <row r="1" spans="1:10" x14ac:dyDescent="0.35">
      <c r="B1" s="32" t="s">
        <v>60</v>
      </c>
      <c r="C1" s="32"/>
      <c r="D1" s="32"/>
      <c r="E1" s="33" t="s">
        <v>58</v>
      </c>
      <c r="F1" s="33"/>
      <c r="G1" s="33"/>
      <c r="H1" s="34" t="s">
        <v>59</v>
      </c>
      <c r="I1" s="34"/>
      <c r="J1" s="34"/>
    </row>
    <row r="2" spans="1:10" x14ac:dyDescent="0.35">
      <c r="A2" s="16" t="s">
        <v>52</v>
      </c>
      <c r="B2" s="17" t="s">
        <v>61</v>
      </c>
      <c r="C2" s="17" t="s">
        <v>62</v>
      </c>
      <c r="D2" s="17" t="s">
        <v>63</v>
      </c>
      <c r="E2" s="20" t="s">
        <v>61</v>
      </c>
      <c r="F2" s="20" t="s">
        <v>62</v>
      </c>
      <c r="G2" s="20" t="s">
        <v>63</v>
      </c>
      <c r="H2" s="22" t="s">
        <v>61</v>
      </c>
      <c r="I2" s="22" t="s">
        <v>62</v>
      </c>
      <c r="J2" s="22" t="s">
        <v>63</v>
      </c>
    </row>
    <row r="3" spans="1:10" x14ac:dyDescent="0.35">
      <c r="A3" s="1" t="s">
        <v>51</v>
      </c>
      <c r="B3" s="18"/>
      <c r="C3" s="18"/>
      <c r="D3" s="18"/>
      <c r="E3" s="19"/>
      <c r="F3" s="19"/>
      <c r="G3" s="19"/>
      <c r="H3" s="21"/>
      <c r="I3" s="21"/>
      <c r="J3" s="21"/>
    </row>
    <row r="4" spans="1:10" x14ac:dyDescent="0.35">
      <c r="A4" s="1" t="s">
        <v>53</v>
      </c>
      <c r="B4" s="18">
        <v>2</v>
      </c>
      <c r="C4" s="23">
        <v>1400</v>
      </c>
      <c r="D4" s="23">
        <f>+B4*C4</f>
        <v>2800</v>
      </c>
      <c r="E4" s="19">
        <v>1</v>
      </c>
      <c r="F4" s="24">
        <v>1800</v>
      </c>
      <c r="G4" s="24">
        <f>+F4*E4</f>
        <v>1800</v>
      </c>
      <c r="H4" s="21">
        <v>1</v>
      </c>
      <c r="I4" s="25">
        <v>1800</v>
      </c>
      <c r="J4" s="25">
        <f>+I4*H4</f>
        <v>1800</v>
      </c>
    </row>
    <row r="5" spans="1:10" x14ac:dyDescent="0.35">
      <c r="A5" s="1" t="s">
        <v>54</v>
      </c>
      <c r="B5" s="18">
        <v>5</v>
      </c>
      <c r="C5" s="23">
        <v>1400</v>
      </c>
      <c r="D5" s="23">
        <f t="shared" ref="D5:D9" si="0">+B5*C5</f>
        <v>7000</v>
      </c>
      <c r="E5" s="19"/>
      <c r="F5" s="24"/>
      <c r="G5" s="24">
        <f t="shared" ref="G5:G8" si="1">+F5*E5</f>
        <v>0</v>
      </c>
      <c r="H5" s="21"/>
      <c r="I5" s="25"/>
      <c r="J5" s="25"/>
    </row>
    <row r="6" spans="1:10" x14ac:dyDescent="0.35">
      <c r="A6" s="1" t="s">
        <v>55</v>
      </c>
      <c r="B6" s="18"/>
      <c r="C6" s="23"/>
      <c r="D6" s="23"/>
      <c r="E6" s="19">
        <v>1</v>
      </c>
      <c r="F6" s="24">
        <v>2000</v>
      </c>
      <c r="G6" s="24">
        <v>2000</v>
      </c>
      <c r="H6" s="21">
        <v>1</v>
      </c>
      <c r="I6" s="25">
        <v>2000</v>
      </c>
      <c r="J6" s="25">
        <f t="shared" ref="J6" si="2">+I6*H6</f>
        <v>2000</v>
      </c>
    </row>
    <row r="7" spans="1:10" x14ac:dyDescent="0.35">
      <c r="A7" s="1" t="s">
        <v>55</v>
      </c>
      <c r="B7" s="18">
        <v>7</v>
      </c>
      <c r="C7" s="23">
        <v>1400</v>
      </c>
      <c r="D7" s="23">
        <f t="shared" si="0"/>
        <v>9800</v>
      </c>
      <c r="E7" s="19">
        <v>5</v>
      </c>
      <c r="F7" s="24">
        <v>1800</v>
      </c>
      <c r="G7" s="24">
        <f t="shared" si="1"/>
        <v>9000</v>
      </c>
      <c r="H7" s="21">
        <v>4</v>
      </c>
      <c r="I7" s="25">
        <v>1800</v>
      </c>
      <c r="J7" s="25">
        <f t="shared" ref="J7:J8" si="3">+I7*H7</f>
        <v>7200</v>
      </c>
    </row>
    <row r="8" spans="1:10" x14ac:dyDescent="0.35">
      <c r="A8" s="1" t="s">
        <v>56</v>
      </c>
      <c r="B8" s="18">
        <v>1</v>
      </c>
      <c r="C8" s="23">
        <v>1400</v>
      </c>
      <c r="D8" s="23">
        <f t="shared" si="0"/>
        <v>1400</v>
      </c>
      <c r="E8" s="19">
        <v>1</v>
      </c>
      <c r="F8" s="24">
        <v>2000</v>
      </c>
      <c r="G8" s="24">
        <f t="shared" si="1"/>
        <v>2000</v>
      </c>
      <c r="H8" s="21">
        <v>1</v>
      </c>
      <c r="I8" s="25">
        <v>2000</v>
      </c>
      <c r="J8" s="25">
        <f t="shared" si="3"/>
        <v>2000</v>
      </c>
    </row>
    <row r="9" spans="1:10" x14ac:dyDescent="0.35">
      <c r="A9" s="1" t="s">
        <v>57</v>
      </c>
      <c r="B9" s="18">
        <v>1</v>
      </c>
      <c r="C9" s="23">
        <v>2000</v>
      </c>
      <c r="D9" s="23">
        <f t="shared" si="0"/>
        <v>2000</v>
      </c>
      <c r="E9" s="19"/>
      <c r="F9" s="24"/>
      <c r="G9" s="24"/>
      <c r="H9" s="21"/>
      <c r="I9" s="25"/>
      <c r="J9" s="25"/>
    </row>
    <row r="10" spans="1:10" x14ac:dyDescent="0.35">
      <c r="B10" s="18">
        <f>+B4+B5+B7+B8+B9</f>
        <v>16</v>
      </c>
      <c r="C10" s="23"/>
      <c r="D10" s="23">
        <f>+D4+D5+D7+D8+D9</f>
        <v>23000</v>
      </c>
      <c r="E10" s="19">
        <v>8</v>
      </c>
      <c r="F10" s="19"/>
      <c r="G10" s="24">
        <f>+G8+G7+G6+G4</f>
        <v>14800</v>
      </c>
      <c r="H10" s="21">
        <v>7</v>
      </c>
      <c r="I10" s="21"/>
      <c r="J10" s="25">
        <f>+J8+J7+J6+J4</f>
        <v>13000</v>
      </c>
    </row>
    <row r="12" spans="1:10" x14ac:dyDescent="0.35">
      <c r="D12">
        <f>+B10+E10+H10</f>
        <v>31</v>
      </c>
      <c r="I12" t="s">
        <v>63</v>
      </c>
      <c r="J12" s="26">
        <f>+J10+G10+D10</f>
        <v>50800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syscaschool@outlook.com</dc:creator>
  <cp:lastModifiedBy>syscaschool@outlook.com</cp:lastModifiedBy>
  <cp:lastPrinted>2026-04-13T22:08:16Z</cp:lastPrinted>
  <dcterms:created xsi:type="dcterms:W3CDTF">2026-01-03T21:57:54Z</dcterms:created>
  <dcterms:modified xsi:type="dcterms:W3CDTF">2026-04-18T02:53:17Z</dcterms:modified>
</cp:coreProperties>
</file>